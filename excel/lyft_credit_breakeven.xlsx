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b9e6fc83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economics" sheetId="1" r:id="R15d3caa0c9f94bd2"/>
    <x:sheet xmlns:r="http://schemas.openxmlformats.org/officeDocument/2006/relationships" name="Market comparison" sheetId="2" r:id="R317ac02bc8ec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#,##0"/>
    <x:numFmt numFmtId="202" formatCode="0.0%;(0.0%);&quot;-&quot;"/>
    <x:numFmt numFmtId="203" formatCode="0.00&quot; pp&quot;"/>
    <x:numFmt numFmtId="204" formatCode="#,##0.0;(#,##0.0);&quot;-&quot;"/>
    <x:numFmt numFmtId="205" formatCode="&quot;$&quot;#,##0.00;(&quot;$&quot;#,##0.00);&quot;-&quot;"/>
  </x:numFmts>
  <x:fonts count="8">
    <x:font>
      <x:sz val="11"/>
      <x:name val="Carlito"/>
    </x:font>
    <x:font>
      <x:sz val="10"/>
      <x:color rgb="FF263238"/>
      <x:name val="Arial"/>
    </x:font>
    <x:font>
      <x:b/>
      <x:sz val="14"/>
      <x:color rgb="FF1F3A52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sz val="10"/>
      <x:color rgb="FF0000FF"/>
      <x:name val="Arial"/>
    </x:font>
    <x:font>
      <x:b/>
      <x:sz val="10"/>
      <x:color rgb="FF263238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2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0c6367a954ccf" /><Relationship Type="http://schemas.openxmlformats.org/officeDocument/2006/relationships/theme" Target="/xl/theme/theme1.xml" Id="R3a8b87a638b04de9" /><Relationship Type="http://schemas.openxmlformats.org/officeDocument/2006/relationships/sharedStrings" Target="/xl/sharedStrings.xml" Id="Ree3ed6d75a734bb3" /><Relationship Type="http://schemas.openxmlformats.org/officeDocument/2006/relationships/worksheet" Target="/xl/worksheets/sheet1.xml" Id="R15d3caa0c9f94bd2" /><Relationship Type="http://schemas.openxmlformats.org/officeDocument/2006/relationships/worksheet" Target="/xl/worksheets/sheet2.xml" Id="R317ac02bc8ec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52"/>
  </x:sheetPr>
  <x:sheetViews>
    <x:sheetView showGridLines="0" workbookViewId="0"/>
  </x:sheetViews>
  <x:sheetFormatPr defaultRowHeight="15"/>
  <x:cols>
    <x:col min="1" max="1" width="3" hidden="0" customWidth="1"/>
    <x:col min="2" max="2" width="40" hidden="0" customWidth="1"/>
    <x:col min="3" max="3" width="18" hidden="0" customWidth="1"/>
    <x:col min="4" max="4" width="16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"/>
      <x:c r="B2" s="3" t="str">
        <x:v>Lyft credit break-even</x:v>
      </x:c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 t="str">
        <x:v>USD per 100 base trips. Scenario model, not observed campaign ROI.</x:v>
      </x:c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7" customHeight="1">
      <x:c r="A5" s="2"/>
      <x:c r="B5" s="6" t="str">
        <x:v>Main result</x:v>
      </x:c>
      <x:c r="C5" s="6" t="str">
        <x:v>Value</x:v>
      </x:c>
      <x:c r="D5" s="2"/>
      <x:c r="E5" s="2"/>
      <x:c r="F5" s="2"/>
      <x:c r="G5" s="2"/>
      <x:c r="H5" s="2"/>
      <x:c r="I5" s="2"/>
    </x:row>
    <x:row r="6" ht="23" customHeight="1">
      <x:c r="A6" s="2"/>
      <x:c r="B6" s="2" t="str">
        <x:v>Net incremental contribution</x:v>
      </x:c>
      <x:c r="C6" s="16" t="n">
        <x:f>C34</x:f>
        <x:v>-122.31214585753747</x:v>
      </x:c>
      <x:c r="D6" s="2"/>
      <x:c r="E6" s="2" t="str">
        <x:v>Margin is assumed, not fare minus driver pay.</x:v>
      </x:c>
      <x:c r="F6" s="2"/>
      <x:c r="G6" s="2"/>
      <x:c r="H6" s="2"/>
      <x:c r="I6" s="2"/>
    </x:row>
    <x:row r="7" ht="23" customHeight="1">
      <x:c r="A7" s="2"/>
      <x:c r="B7" s="2" t="str">
        <x:v>Credit cost per extra trip</x:v>
      </x:c>
      <x:c r="C7" s="16" t="n">
        <x:f>C35</x:f>
        <x:v>25.87892068222107</x:v>
      </x:c>
      <x:c r="D7" s="2"/>
      <x:c r="E7" s="2" t="str">
        <x:v>Includes credits given to organic trips.</x:v>
      </x:c>
      <x:c r="F7" s="2"/>
      <x:c r="G7" s="2"/>
      <x:c r="H7" s="2"/>
      <x:c r="I7" s="2"/>
    </x:row>
    <x:row r="8" ht="23" customHeight="1">
      <x:c r="A8" s="2"/>
      <x:c r="B8" s="2" t="str">
        <x:v>Break-even: whole base</x:v>
      </x:c>
      <x:c r="C8" s="11" t="n">
        <x:f>C37</x:f>
        <x:v>0.3333333333333333</x:v>
      </x:c>
      <x:c r="D8" s="2"/>
      <x:c r="E8" s="2" t="str">
        <x:v>Whole-base uplift uses all base trips as denominator.</x:v>
      </x:c>
      <x:c r="F8" s="2"/>
      <x:c r="G8" s="2"/>
      <x:c r="H8" s="2"/>
      <x:c r="I8" s="2"/>
    </x:row>
    <x:row r="9" ht="23" customHeight="1">
      <x:c r="A9" s="2"/>
      <x:c r="B9" s="2" t="str">
        <x:v>Break-even: eligible base</x:v>
      </x:c>
      <x:c r="C9" s="11" t="n">
        <x:f>C38</x:f>
        <x:v>0.3333333333333333</x:v>
      </x:c>
      <x:c r="D9" s="2"/>
      <x:c r="E9" s="2" t="str">
        <x:v>Eligible threshold divides whole-base threshold by s.</x:v>
      </x:c>
      <x:c r="F9" s="2"/>
      <x:c r="G9" s="2"/>
      <x:c r="H9" s="2"/>
      <x:c r="I9" s="2"/>
    </x:row>
    <x:row r="10" ht="23" customHeight="1">
      <x:c r="A10" s="2"/>
      <x:c r="B10" s="2" t="str">
        <x:v>Uplift used in model</x:v>
      </x:c>
      <x:c r="C10" s="11" t="n">
        <x:f>C21</x:f>
        <x:v>0.06152856476102783</x:v>
      </x:c>
      <x:c r="D10" s="2"/>
      <x:c r="E10" s="2" t="str">
        <x:v>Changing targeting requires a new uplift assumption.</x:v>
      </x:c>
      <x:c r="F10" s="2"/>
      <x:c r="G10" s="2"/>
      <x:c r="H10" s="2"/>
      <x:c r="I10" s="2"/>
    </x:row>
    <x:row r="11" ht="23" customHeight="1">
      <x:c r="A11" s="2"/>
      <x:c r="B11" s="2" t="str">
        <x:v>Observed adjusted share gap</x:v>
      </x:c>
      <x:c r="C11" s="13" t="n">
        <x:f>'Market comparison'!D18</x:f>
        <x:v>1.6077232779962536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Scenario result</x:v>
      </x:c>
      <x:c r="C12" s="7" t="str">
        <x:f>IF(ISNUMBER(C6),IF(C6&gt;0,"Above break-even",IF(C6&lt;0,"Below break-even","At break-even")),"Incomplete inputs")</x:f>
        <x:v>Below break-even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7" customHeight="1">
      <x:c r="A14" s="2"/>
      <x:c r="B14" s="6" t="str">
        <x:v>Editable assumptions</x:v>
      </x:c>
      <x:c r="C14" s="6" t="str">
        <x:v>Value</x:v>
      </x:c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Base trips (N)</x:v>
      </x:c>
      <x:c r="C15" s="21" t="n">
        <x:v>100</x:v>
      </x:c>
      <x:c r="D15" s="2"/>
      <x:c r="E15" s="2" t="str">
        <x:v>Normalization, not actual campaign size.</x:v>
      </x:c>
      <x:c r="F15" s="2"/>
      <x:c r="G15" s="2"/>
      <x:c r="H15" s="2"/>
      <x:c r="I15" s="2"/>
    </x:row>
    <x:row r="16" ht="23" customHeight="1">
      <x:c r="A16" s="2"/>
      <x:c r="B16" s="2" t="str">
        <x:v>Credit face value (c)</x:v>
      </x:c>
      <x:c r="C16" s="22" t="n">
        <x:v>1.5</x:v>
      </x:c>
      <x:c r="D16" s="2"/>
      <x:c r="E16" s="2" t="str">
        <x:v>Face value per issued credit.</x:v>
      </x:c>
      <x:c r="F16" s="2"/>
      <x:c r="G16" s="2"/>
      <x:c r="H16" s="2"/>
      <x:c r="I16" s="2"/>
    </x:row>
    <x:row r="17" ht="23" customHeight="1">
      <x:c r="A17" s="2"/>
      <x:c r="B17" s="2" t="str">
        <x:v>Contribution per extra trip (m)</x:v>
      </x:c>
      <x:c r="C17" s="22" t="n">
        <x:v>6</x:v>
      </x:c>
      <x:c r="D17" s="2"/>
      <x:c r="E17" s="2" t="str">
        <x:v>Assumed contribution before credit cost.</x:v>
      </x:c>
      <x:c r="F17" s="2"/>
      <x:c r="G17" s="2"/>
      <x:c r="H17" s="2"/>
      <x:c r="I17" s="2"/>
    </x:row>
    <x:row r="18" ht="23" customHeight="1">
      <x:c r="A18" s="2"/>
      <x:c r="B18" s="2" t="str">
        <x:v>Credit redemption rate (r)</x:v>
      </x:c>
      <x:c r="C18" s="23" t="n">
        <x:v>1</x:v>
      </x:c>
      <x:c r="D18" s="2"/>
      <x:c r="E18" s="2" t="str">
        <x:v>Unknown in TLC. Edit this scenario.</x:v>
      </x:c>
      <x:c r="F18" s="2"/>
      <x:c r="G18" s="2"/>
      <x:c r="H18" s="2"/>
      <x:c r="I18" s="2"/>
    </x:row>
    <x:row r="19" ht="23" customHeight="1">
      <x:c r="A19" s="2"/>
      <x:c r="B19" s="2" t="str">
        <x:v>Organic-trip coverage (s)</x:v>
      </x:c>
      <x:c r="C19" s="23" t="n">
        <x:v>1</x:v>
      </x:c>
      <x:c r="D19" s="2"/>
      <x:c r="E19" s="2" t="str">
        <x:v>Share of base trips, not share of users.</x:v>
      </x:c>
      <x:c r="F19" s="2"/>
      <x:c r="G19" s="2"/>
      <x:c r="H19" s="2"/>
      <x:c r="I19" s="2"/>
    </x:row>
    <x:row r="20" ht="23" customHeight="1">
      <x:c r="A20" s="2"/>
      <x:c r="B20" s="2" t="str">
        <x:v>Extra trips receiving credit (a)</x:v>
      </x:c>
      <x:c r="C20" s="23" t="n">
        <x:v>1</x:v>
      </x:c>
      <x:c r="D20" s="2"/>
      <x:c r="E20" s="2" t="str">
        <x:v>Default: every extra trip receives credit.</x:v>
      </x:c>
      <x:c r="F20" s="2"/>
      <x:c r="G20" s="2"/>
      <x:c r="H20" s="2"/>
      <x:c r="I20" s="2"/>
    </x:row>
    <x:row r="21" ht="23" customHeight="1">
      <x:c r="A21" s="2"/>
      <x:c r="B21" s="2" t="str">
        <x:v>Whole-base uplift (u)</x:v>
      </x:c>
      <x:c r="C21" s="24" t="n">
        <x:f>'Market comparison'!D20</x:f>
        <x:v>0.06152856476102783</x:v>
      </x:c>
      <x:c r="D21" s="2"/>
      <x:c r="E21" s="2" t="str">
        <x:v>Linked share proxy. Replace value to test other uplift.</x:v>
      </x:c>
      <x:c r="F21" s="2"/>
      <x:c r="G21" s="2"/>
      <x:c r="H21" s="2"/>
      <x:c r="I21" s="2"/>
    </x:row>
    <x:row r="22" ht="23" customHeight="1">
      <x:c r="A22" s="2"/>
      <x:c r="B22" s="2" t="str">
        <x:v>Missing or invalid input</x:v>
      </x:c>
      <x:c r="C22" s="7" t="str">
        <x:f>IF(COUNT(C15:C21)&lt;&gt;7,"Missing numeric input",IF(MIN(C15:C21)&lt;0,"Negative input",IF(OR(C18&gt;1,C19&lt;=0,C19&gt;1,C20&gt;1),"Share out of range","")))</x:f>
      </x:c>
      <x:c r="D22" s="2"/>
      <x:c r="E22" s="2"/>
      <x:c r="F22" s="2"/>
      <x:c r="G22" s="2"/>
      <x:c r="H22" s="2"/>
      <x:c r="I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7" customHeight="1">
      <x:c r="A25" s="2"/>
      <x:c r="B25" s="6" t="str">
        <x:v>Calculation</x:v>
      </x:c>
      <x:c r="C25" s="6" t="str">
        <x:v>Value</x:v>
      </x:c>
      <x:c r="D25" s="2"/>
      <x:c r="E25" s="2"/>
      <x:c r="F25" s="2"/>
      <x:c r="G25" s="2"/>
      <x:c r="H25" s="2"/>
      <x:c r="I25" s="2"/>
    </x:row>
    <x:row r="26" ht="23" customHeight="1">
      <x:c r="A26" s="2"/>
      <x:c r="B26" s="2" t="str">
        <x:v>Expected used value per issued credit</x:v>
      </x:c>
      <x:c r="C26" s="16" t="n">
        <x:f>IF($C$22&lt;&gt;"",$C$22,C16*C18)</x:f>
        <x:v>1.5</x:v>
      </x:c>
      <x:c r="D26" s="2"/>
      <x:c r="E26" s="2"/>
      <x:c r="F26" s="2"/>
      <x:c r="G26" s="2"/>
      <x:c r="H26" s="2"/>
      <x:c r="I26" s="2"/>
    </x:row>
    <x:row r="27" ht="23" customHeight="1">
      <x:c r="A27" s="2"/>
      <x:c r="B27" s="2" t="str">
        <x:v>Incremental trips</x:v>
      </x:c>
      <x:c r="C27" s="14" t="n">
        <x:f>IF($C$22&lt;&gt;"",$C$22,C15*C21)</x:f>
        <x:v>6.152856476102783</x:v>
      </x:c>
      <x:c r="D27" s="2"/>
      <x:c r="E27" s="2"/>
      <x:c r="F27" s="2"/>
      <x:c r="G27" s="2"/>
      <x:c r="H27" s="2"/>
      <x:c r="I27" s="2"/>
    </x:row>
    <x:row r="28" ht="23" customHeight="1">
      <x:c r="A28" s="2"/>
      <x:c r="B28" s="2" t="str">
        <x:v>Organic-trip credits issued</x:v>
      </x:c>
      <x:c r="C28" s="14" t="n">
        <x:f>IF($C$22&lt;&gt;"",$C$22,C15*C19)</x:f>
        <x:v>100</x:v>
      </x:c>
      <x:c r="D28" s="2"/>
      <x:c r="E28" s="2"/>
      <x:c r="F28" s="2"/>
      <x:c r="G28" s="2"/>
      <x:c r="H28" s="2"/>
      <x:c r="I28" s="2"/>
    </x:row>
    <x:row r="29" ht="23" customHeight="1">
      <x:c r="A29" s="2"/>
      <x:c r="B29" s="2" t="str">
        <x:v>Extra-trip credits issued</x:v>
      </x:c>
      <x:c r="C29" s="14" t="n">
        <x:f>IF($C$22&lt;&gt;"",$C$22,C27*C20)</x:f>
        <x:v>6.152856476102783</x:v>
      </x:c>
      <x:c r="D29" s="2"/>
      <x:c r="E29" s="2"/>
      <x:c r="F29" s="2"/>
      <x:c r="G29" s="2"/>
      <x:c r="H29" s="2"/>
      <x:c r="I29" s="2"/>
    </x:row>
    <x:row r="30" ht="23" customHeight="1">
      <x:c r="A30" s="2"/>
      <x:c r="B30" s="2" t="str">
        <x:v>Total credits issued</x:v>
      </x:c>
      <x:c r="C30" s="14" t="n">
        <x:f>IF($C$22&lt;&gt;"",$C$22,SUM(C28:C29))</x:f>
        <x:v>106.15285647610278</x:v>
      </x:c>
      <x:c r="D30" s="2"/>
      <x:c r="E30" s="2"/>
      <x:c r="F30" s="2"/>
      <x:c r="G30" s="2"/>
      <x:c r="H30" s="2"/>
      <x:c r="I30" s="2"/>
    </x:row>
    <x:row r="31" ht="23" customHeight="1">
      <x:c r="A31" s="2"/>
      <x:c r="B31" s="2" t="str">
        <x:v>Expected credits redeemed</x:v>
      </x:c>
      <x:c r="C31" s="14" t="n">
        <x:f>IF($C$22&lt;&gt;"",$C$22,C30*C18)</x:f>
        <x:v>106.15285647610278</x:v>
      </x:c>
      <x:c r="D31" s="2"/>
      <x:c r="E31" s="2"/>
      <x:c r="F31" s="2"/>
      <x:c r="G31" s="2"/>
      <x:c r="H31" s="2"/>
      <x:c r="I31" s="2"/>
    </x:row>
    <x:row r="32" ht="23" customHeight="1">
      <x:c r="A32" s="2"/>
      <x:c r="B32" s="2" t="str">
        <x:v>Expected credit cost</x:v>
      </x:c>
      <x:c r="C32" s="16" t="n">
        <x:f>IF($C$22&lt;&gt;"",$C$22,C30*C26)</x:f>
        <x:v>159.22928471415418</x:v>
      </x:c>
      <x:c r="D32" s="2"/>
      <x:c r="E32" s="2"/>
      <x:c r="F32" s="2"/>
      <x:c r="G32" s="2"/>
      <x:c r="H32" s="2"/>
      <x:c r="I32" s="2"/>
    </x:row>
    <x:row r="33" ht="23" customHeight="1">
      <x:c r="A33" s="2"/>
      <x:c r="B33" s="2" t="str">
        <x:v>Contribution from extra trips</x:v>
      </x:c>
      <x:c r="C33" s="16" t="n">
        <x:f>IF($C$22&lt;&gt;"",$C$22,C27*C17)</x:f>
        <x:v>36.917138856616695</x:v>
      </x:c>
      <x:c r="D33" s="2"/>
      <x:c r="E33" s="2"/>
      <x:c r="F33" s="2"/>
      <x:c r="G33" s="2"/>
      <x:c r="H33" s="2"/>
      <x:c r="I33" s="2"/>
    </x:row>
    <x:row r="34" ht="23" customHeight="1">
      <x:c r="A34" s="2"/>
      <x:c r="B34" s="2" t="str">
        <x:v>Net incremental contribution</x:v>
      </x:c>
      <x:c r="C34" s="16" t="n">
        <x:f>IF($C$22&lt;&gt;"",$C$22,C33-C32)</x:f>
        <x:v>-122.31214585753747</x:v>
      </x:c>
      <x:c r="D34" s="2"/>
      <x:c r="E34" s="2"/>
      <x:c r="F34" s="2"/>
      <x:c r="G34" s="2"/>
      <x:c r="H34" s="2"/>
      <x:c r="I34" s="2"/>
    </x:row>
    <x:row r="35" ht="23" customHeight="1">
      <x:c r="A35" s="2"/>
      <x:c r="B35" s="2" t="str">
        <x:v>Credit cost per extra trip</x:v>
      </x:c>
      <x:c r="C35" s="16" t="n">
        <x:f>IF($C$22&lt;&gt;"",$C$22,IF(C27&gt;0,C32/C27,"n.a."))</x:f>
        <x:v>25.87892068222107</x:v>
      </x:c>
      <x:c r="D35" s="2"/>
      <x:c r="E35" s="2"/>
      <x:c r="F35" s="2"/>
      <x:c r="G35" s="2"/>
      <x:c r="H35" s="2"/>
      <x:c r="I35" s="2"/>
    </x:row>
    <x:row r="36" ht="23" customHeight="1">
      <x:c r="A36" s="2"/>
      <x:c r="B36" s="2" t="str">
        <x:v>Margin after extra-trip credit</x:v>
      </x:c>
      <x:c r="C36" s="16" t="n">
        <x:f>IF($C$22&lt;&gt;"",$C$22,C17-C20*C26)</x:f>
        <x:v>4.5</x:v>
      </x:c>
      <x:c r="D36" s="2"/>
      <x:c r="E36" s="2"/>
      <x:c r="F36" s="2"/>
      <x:c r="G36" s="2"/>
      <x:c r="H36" s="2"/>
      <x:c r="I36" s="2"/>
    </x:row>
    <x:row r="37" ht="23" customHeight="1">
      <x:c r="A37" s="2"/>
      <x:c r="B37" s="2" t="str">
        <x:v>Break-even: whole base</x:v>
      </x:c>
      <x:c r="C37" s="11" t="n">
        <x:f>IF($C$22&lt;&gt;"",$C$22,IF(C36&gt;0,C19*C26/C36,IF(AND(C26=0,C17=0),0,"No break-even")))</x:f>
        <x:v>0.3333333333333333</x:v>
      </x:c>
      <x:c r="D37" s="2"/>
      <x:c r="E37" s="2"/>
      <x:c r="F37" s="2"/>
      <x:c r="G37" s="2"/>
      <x:c r="H37" s="2"/>
      <x:c r="I37" s="2"/>
    </x:row>
    <x:row r="38" ht="23" customHeight="1">
      <x:c r="A38" s="2"/>
      <x:c r="B38" s="2" t="str">
        <x:v>Break-even: eligible base</x:v>
      </x:c>
      <x:c r="C38" s="11" t="n">
        <x:f>IF($C$22&lt;&gt;"",$C$22,IF(ISNUMBER(C37),C37/C19,"No break-even"))</x:f>
        <x:v>0.3333333333333333</x:v>
      </x:c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 t="str">
        <x:v>Analytical break-even sensitivity. Credit c and extra-credit fraction a use active inputs.</x:v>
      </x:c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38" customHeight="1">
      <x:c r="A43" s="2"/>
      <x:c r="B43" s="25" t="str">
        <x:v>Margin ($)</x:v>
      </x:c>
      <x:c r="C43" s="25" t="str">
        <x:v>Coverage (s)</x:v>
      </x:c>
      <x:c r="D43" s="25" t="str">
        <x:v>Redemption (r)</x:v>
      </x:c>
      <x:c r="E43" s="25" t="str">
        <x:v>Effective credit ($)</x:v>
      </x:c>
      <x:c r="F43" s="25" t="str">
        <x:v>Whole-base threshold</x:v>
      </x:c>
      <x:c r="G43" s="25" t="str">
        <x:v>Eligible threshold</x:v>
      </x:c>
      <x:c r="H43" s="2"/>
      <x:c r="I43" s="2"/>
    </x:row>
    <x:row r="44" ht="23" customHeight="1">
      <x:c r="A44" s="2"/>
      <x:c r="B44" s="28" t="n">
        <x:v>3</x:v>
      </x:c>
      <x:c r="C44" s="29" t="n">
        <x:v>1</x:v>
      </x:c>
      <x:c r="D44" s="29" t="n">
        <x:v>0.25</x:v>
      </x:c>
      <x:c r="E44" s="16" t="n">
        <x:f>$C$16*D44</x:f>
        <x:v>0.375</x:v>
      </x:c>
      <x:c r="F44" s="11" t="n">
        <x:f>IF(B44&gt;$C$20*E44,C44*E44/(B44-$C$20*E44),"No break-even")</x:f>
        <x:v>0.14285714285714285</x:v>
      </x:c>
      <x:c r="G44" s="11" t="n">
        <x:f>IF(ISNUMBER(F44),F44/C44,"No break-even")</x:f>
        <x:v>0.14285714285714285</x:v>
      </x:c>
      <x:c r="H44" s="2"/>
      <x:c r="I44" s="2"/>
    </x:row>
    <x:row r="45" ht="23" customHeight="1">
      <x:c r="A45" s="2"/>
      <x:c r="B45" s="28" t="n">
        <x:v>3</x:v>
      </x:c>
      <x:c r="C45" s="29" t="n">
        <x:v>0.3</x:v>
      </x:c>
      <x:c r="D45" s="29" t="n">
        <x:v>0.25</x:v>
      </x:c>
      <x:c r="E45" s="16" t="n">
        <x:f>$C$16*D45</x:f>
        <x:v>0.375</x:v>
      </x:c>
      <x:c r="F45" s="11" t="n">
        <x:f>IF(B45&gt;$C$20*E45,C45*E45/(B45-$C$20*E45),"No break-even")</x:f>
        <x:v>0.04285714285714285</x:v>
      </x:c>
      <x:c r="G45" s="11" t="n">
        <x:f>IF(ISNUMBER(F45),F45/C45,"No break-even")</x:f>
        <x:v>0.14285714285714285</x:v>
      </x:c>
      <x:c r="H45" s="2"/>
      <x:c r="I45" s="2"/>
    </x:row>
    <x:row r="46" ht="23" customHeight="1">
      <x:c r="A46" s="2"/>
      <x:c r="B46" s="28" t="n">
        <x:v>3</x:v>
      </x:c>
      <x:c r="C46" s="29" t="n">
        <x:v>1</x:v>
      </x:c>
      <x:c r="D46" s="29" t="n">
        <x:v>0.5</x:v>
      </x:c>
      <x:c r="E46" s="16" t="n">
        <x:f>$C$16*D46</x:f>
        <x:v>0.75</x:v>
      </x:c>
      <x:c r="F46" s="11" t="n">
        <x:f>IF(B46&gt;$C$20*E46,C46*E46/(B46-$C$20*E46),"No break-even")</x:f>
        <x:v>0.3333333333333333</x:v>
      </x:c>
      <x:c r="G46" s="11" t="n">
        <x:f>IF(ISNUMBER(F46),F46/C46,"No break-even")</x:f>
        <x:v>0.3333333333333333</x:v>
      </x:c>
      <x:c r="H46" s="2"/>
      <x:c r="I46" s="2"/>
    </x:row>
    <x:row r="47" ht="23" customHeight="1">
      <x:c r="A47" s="2"/>
      <x:c r="B47" s="28" t="n">
        <x:v>3</x:v>
      </x:c>
      <x:c r="C47" s="29" t="n">
        <x:v>0.3</x:v>
      </x:c>
      <x:c r="D47" s="29" t="n">
        <x:v>0.5</x:v>
      </x:c>
      <x:c r="E47" s="16" t="n">
        <x:f>$C$16*D47</x:f>
        <x:v>0.75</x:v>
      </x:c>
      <x:c r="F47" s="11" t="n">
        <x:f>IF(B47&gt;$C$20*E47,C47*E47/(B47-$C$20*E47),"No break-even")</x:f>
        <x:v>0.09999999999999999</x:v>
      </x:c>
      <x:c r="G47" s="11" t="n">
        <x:f>IF(ISNUMBER(F47),F47/C47,"No break-even")</x:f>
        <x:v>0.3333333333333333</x:v>
      </x:c>
      <x:c r="H47" s="2"/>
      <x:c r="I47" s="2"/>
    </x:row>
    <x:row r="48" ht="23" customHeight="1">
      <x:c r="A48" s="2"/>
      <x:c r="B48" s="28" t="n">
        <x:v>3</x:v>
      </x:c>
      <x:c r="C48" s="29" t="n">
        <x:v>1</x:v>
      </x:c>
      <x:c r="D48" s="29" t="n">
        <x:v>0.75</x:v>
      </x:c>
      <x:c r="E48" s="16" t="n">
        <x:f>$C$16*D48</x:f>
        <x:v>1.125</x:v>
      </x:c>
      <x:c r="F48" s="11" t="n">
        <x:f>IF(B48&gt;$C$20*E48,C48*E48/(B48-$C$20*E48),"No break-even")</x:f>
        <x:v>0.6</x:v>
      </x:c>
      <x:c r="G48" s="11" t="n">
        <x:f>IF(ISNUMBER(F48),F48/C48,"No break-even")</x:f>
        <x:v>0.6</x:v>
      </x:c>
      <x:c r="H48" s="2"/>
      <x:c r="I48" s="2"/>
    </x:row>
    <x:row r="49" ht="23" customHeight="1">
      <x:c r="A49" s="2"/>
      <x:c r="B49" s="28" t="n">
        <x:v>3</x:v>
      </x:c>
      <x:c r="C49" s="29" t="n">
        <x:v>0.3</x:v>
      </x:c>
      <x:c r="D49" s="29" t="n">
        <x:v>0.75</x:v>
      </x:c>
      <x:c r="E49" s="16" t="n">
        <x:f>$C$16*D49</x:f>
        <x:v>1.125</x:v>
      </x:c>
      <x:c r="F49" s="11" t="n">
        <x:f>IF(B49&gt;$C$20*E49,C49*E49/(B49-$C$20*E49),"No break-even")</x:f>
        <x:v>0.18</x:v>
      </x:c>
      <x:c r="G49" s="11" t="n">
        <x:f>IF(ISNUMBER(F49),F49/C49,"No break-even")</x:f>
        <x:v>0.6</x:v>
      </x:c>
      <x:c r="H49" s="2"/>
      <x:c r="I49" s="2"/>
    </x:row>
    <x:row r="50" ht="23" customHeight="1">
      <x:c r="A50" s="2"/>
      <x:c r="B50" s="28" t="n">
        <x:v>3</x:v>
      </x:c>
      <x:c r="C50" s="29" t="n">
        <x:v>1</x:v>
      </x:c>
      <x:c r="D50" s="29" t="n">
        <x:v>1</x:v>
      </x:c>
      <x:c r="E50" s="16" t="n">
        <x:f>$C$16*D50</x:f>
        <x:v>1.5</x:v>
      </x:c>
      <x:c r="F50" s="11" t="n">
        <x:f>IF(B50&gt;$C$20*E50,C50*E50/(B50-$C$20*E50),"No break-even")</x:f>
        <x:v>1</x:v>
      </x:c>
      <x:c r="G50" s="11" t="n">
        <x:f>IF(ISNUMBER(F50),F50/C50,"No break-even")</x:f>
        <x:v>1</x:v>
      </x:c>
      <x:c r="H50" s="2"/>
      <x:c r="I50" s="2"/>
    </x:row>
    <x:row r="51" ht="23" customHeight="1">
      <x:c r="A51" s="2"/>
      <x:c r="B51" s="28" t="n">
        <x:v>3</x:v>
      </x:c>
      <x:c r="C51" s="29" t="n">
        <x:v>0.3</x:v>
      </x:c>
      <x:c r="D51" s="29" t="n">
        <x:v>1</x:v>
      </x:c>
      <x:c r="E51" s="16" t="n">
        <x:f>$C$16*D51</x:f>
        <x:v>1.5</x:v>
      </x:c>
      <x:c r="F51" s="11" t="n">
        <x:f>IF(B51&gt;$C$20*E51,C51*E51/(B51-$C$20*E51),"No break-even")</x:f>
        <x:v>0.3</x:v>
      </x:c>
      <x:c r="G51" s="11" t="n">
        <x:f>IF(ISNUMBER(F51),F51/C51,"No break-even")</x:f>
        <x:v>1</x:v>
      </x:c>
      <x:c r="H51" s="2"/>
      <x:c r="I51" s="2"/>
    </x:row>
    <x:row r="52" ht="23" customHeight="1">
      <x:c r="A52" s="2"/>
      <x:c r="B52" s="28" t="n">
        <x:v>6</x:v>
      </x:c>
      <x:c r="C52" s="29" t="n">
        <x:v>1</x:v>
      </x:c>
      <x:c r="D52" s="29" t="n">
        <x:v>0.25</x:v>
      </x:c>
      <x:c r="E52" s="16" t="n">
        <x:f>$C$16*D52</x:f>
        <x:v>0.375</x:v>
      </x:c>
      <x:c r="F52" s="11" t="n">
        <x:f>IF(B52&gt;$C$20*E52,C52*E52/(B52-$C$20*E52),"No break-even")</x:f>
        <x:v>0.06666666666666667</x:v>
      </x:c>
      <x:c r="G52" s="11" t="n">
        <x:f>IF(ISNUMBER(F52),F52/C52,"No break-even")</x:f>
        <x:v>0.06666666666666667</x:v>
      </x:c>
      <x:c r="H52" s="2"/>
      <x:c r="I52" s="2"/>
    </x:row>
    <x:row r="53" ht="23" customHeight="1">
      <x:c r="A53" s="2"/>
      <x:c r="B53" s="28" t="n">
        <x:v>6</x:v>
      </x:c>
      <x:c r="C53" s="29" t="n">
        <x:v>0.3</x:v>
      </x:c>
      <x:c r="D53" s="29" t="n">
        <x:v>0.25</x:v>
      </x:c>
      <x:c r="E53" s="16" t="n">
        <x:f>$C$16*D53</x:f>
        <x:v>0.375</x:v>
      </x:c>
      <x:c r="F53" s="11" t="n">
        <x:f>IF(B53&gt;$C$20*E53,C53*E53/(B53-$C$20*E53),"No break-even")</x:f>
        <x:v>0.019999999999999997</x:v>
      </x:c>
      <x:c r="G53" s="11" t="n">
        <x:f>IF(ISNUMBER(F53),F53/C53,"No break-even")</x:f>
        <x:v>0.06666666666666667</x:v>
      </x:c>
      <x:c r="H53" s="2"/>
      <x:c r="I53" s="2"/>
    </x:row>
    <x:row r="54" ht="23" customHeight="1">
      <x:c r="A54" s="2"/>
      <x:c r="B54" s="28" t="n">
        <x:v>6</x:v>
      </x:c>
      <x:c r="C54" s="29" t="n">
        <x:v>1</x:v>
      </x:c>
      <x:c r="D54" s="29" t="n">
        <x:v>0.5</x:v>
      </x:c>
      <x:c r="E54" s="16" t="n">
        <x:f>$C$16*D54</x:f>
        <x:v>0.75</x:v>
      </x:c>
      <x:c r="F54" s="11" t="n">
        <x:f>IF(B54&gt;$C$20*E54,C54*E54/(B54-$C$20*E54),"No break-even")</x:f>
        <x:v>0.14285714285714285</x:v>
      </x:c>
      <x:c r="G54" s="11" t="n">
        <x:f>IF(ISNUMBER(F54),F54/C54,"No break-even")</x:f>
        <x:v>0.14285714285714285</x:v>
      </x:c>
      <x:c r="H54" s="2"/>
      <x:c r="I54" s="2"/>
    </x:row>
    <x:row r="55" ht="23" customHeight="1">
      <x:c r="A55" s="2"/>
      <x:c r="B55" s="28" t="n">
        <x:v>6</x:v>
      </x:c>
      <x:c r="C55" s="29" t="n">
        <x:v>0.3</x:v>
      </x:c>
      <x:c r="D55" s="29" t="n">
        <x:v>0.5</x:v>
      </x:c>
      <x:c r="E55" s="16" t="n">
        <x:f>$C$16*D55</x:f>
        <x:v>0.75</x:v>
      </x:c>
      <x:c r="F55" s="11" t="n">
        <x:f>IF(B55&gt;$C$20*E55,C55*E55/(B55-$C$20*E55),"No break-even")</x:f>
        <x:v>0.04285714285714285</x:v>
      </x:c>
      <x:c r="G55" s="11" t="n">
        <x:f>IF(ISNUMBER(F55),F55/C55,"No break-even")</x:f>
        <x:v>0.14285714285714285</x:v>
      </x:c>
      <x:c r="H55" s="2"/>
      <x:c r="I55" s="2"/>
    </x:row>
    <x:row r="56" ht="23" customHeight="1">
      <x:c r="A56" s="2"/>
      <x:c r="B56" s="28" t="n">
        <x:v>6</x:v>
      </x:c>
      <x:c r="C56" s="29" t="n">
        <x:v>1</x:v>
      </x:c>
      <x:c r="D56" s="29" t="n">
        <x:v>0.75</x:v>
      </x:c>
      <x:c r="E56" s="16" t="n">
        <x:f>$C$16*D56</x:f>
        <x:v>1.125</x:v>
      </x:c>
      <x:c r="F56" s="11" t="n">
        <x:f>IF(B56&gt;$C$20*E56,C56*E56/(B56-$C$20*E56),"No break-even")</x:f>
        <x:v>0.23076923076923078</x:v>
      </x:c>
      <x:c r="G56" s="11" t="n">
        <x:f>IF(ISNUMBER(F56),F56/C56,"No break-even")</x:f>
        <x:v>0.23076923076923078</x:v>
      </x:c>
      <x:c r="H56" s="2"/>
      <x:c r="I56" s="2"/>
    </x:row>
    <x:row r="57" ht="23" customHeight="1">
      <x:c r="A57" s="2"/>
      <x:c r="B57" s="28" t="n">
        <x:v>6</x:v>
      </x:c>
      <x:c r="C57" s="29" t="n">
        <x:v>0.3</x:v>
      </x:c>
      <x:c r="D57" s="29" t="n">
        <x:v>0.75</x:v>
      </x:c>
      <x:c r="E57" s="16" t="n">
        <x:f>$C$16*D57</x:f>
        <x:v>1.125</x:v>
      </x:c>
      <x:c r="F57" s="11" t="n">
        <x:f>IF(B57&gt;$C$20*E57,C57*E57/(B57-$C$20*E57),"No break-even")</x:f>
        <x:v>0.06923076923076922</x:v>
      </x:c>
      <x:c r="G57" s="11" t="n">
        <x:f>IF(ISNUMBER(F57),F57/C57,"No break-even")</x:f>
        <x:v>0.23076923076923075</x:v>
      </x:c>
      <x:c r="H57" s="2"/>
      <x:c r="I57" s="2"/>
    </x:row>
    <x:row r="58" ht="23" customHeight="1">
      <x:c r="A58" s="2"/>
      <x:c r="B58" s="28" t="n">
        <x:v>6</x:v>
      </x:c>
      <x:c r="C58" s="29" t="n">
        <x:v>1</x:v>
      </x:c>
      <x:c r="D58" s="29" t="n">
        <x:v>1</x:v>
      </x:c>
      <x:c r="E58" s="16" t="n">
        <x:f>$C$16*D58</x:f>
        <x:v>1.5</x:v>
      </x:c>
      <x:c r="F58" s="11" t="n">
        <x:f>IF(B58&gt;$C$20*E58,C58*E58/(B58-$C$20*E58),"No break-even")</x:f>
        <x:v>0.3333333333333333</x:v>
      </x:c>
      <x:c r="G58" s="11" t="n">
        <x:f>IF(ISNUMBER(F58),F58/C58,"No break-even")</x:f>
        <x:v>0.3333333333333333</x:v>
      </x:c>
      <x:c r="H58" s="2"/>
      <x:c r="I58" s="2"/>
    </x:row>
    <x:row r="59" ht="23" customHeight="1">
      <x:c r="A59" s="2"/>
      <x:c r="B59" s="28" t="n">
        <x:v>6</x:v>
      </x:c>
      <x:c r="C59" s="29" t="n">
        <x:v>0.3</x:v>
      </x:c>
      <x:c r="D59" s="29" t="n">
        <x:v>1</x:v>
      </x:c>
      <x:c r="E59" s="16" t="n">
        <x:f>$C$16*D59</x:f>
        <x:v>1.5</x:v>
      </x:c>
      <x:c r="F59" s="11" t="n">
        <x:f>IF(B59&gt;$C$20*E59,C59*E59/(B59-$C$20*E59),"No break-even")</x:f>
        <x:v>0.09999999999999999</x:v>
      </x:c>
      <x:c r="G59" s="11" t="n">
        <x:f>IF(ISNUMBER(F59),F59/C59,"No break-even")</x:f>
        <x:v>0.3333333333333333</x:v>
      </x:c>
      <x:c r="H59" s="2"/>
      <x:c r="I59" s="2"/>
    </x:row>
    <x:row r="60" ht="23" customHeight="1">
      <x:c r="A60" s="2"/>
      <x:c r="B60" s="28" t="n">
        <x:v>9</x:v>
      </x:c>
      <x:c r="C60" s="29" t="n">
        <x:v>1</x:v>
      </x:c>
      <x:c r="D60" s="29" t="n">
        <x:v>0.25</x:v>
      </x:c>
      <x:c r="E60" s="16" t="n">
        <x:f>$C$16*D60</x:f>
        <x:v>0.375</x:v>
      </x:c>
      <x:c r="F60" s="11" t="n">
        <x:f>IF(B60&gt;$C$20*E60,C60*E60/(B60-$C$20*E60),"No break-even")</x:f>
        <x:v>0.043478260869565216</x:v>
      </x:c>
      <x:c r="G60" s="11" t="n">
        <x:f>IF(ISNUMBER(F60),F60/C60,"No break-even")</x:f>
        <x:v>0.043478260869565216</x:v>
      </x:c>
      <x:c r="H60" s="2"/>
      <x:c r="I60" s="2"/>
    </x:row>
    <x:row r="61" ht="23" customHeight="1">
      <x:c r="A61" s="2"/>
      <x:c r="B61" s="28" t="n">
        <x:v>9</x:v>
      </x:c>
      <x:c r="C61" s="29" t="n">
        <x:v>0.3</x:v>
      </x:c>
      <x:c r="D61" s="29" t="n">
        <x:v>0.25</x:v>
      </x:c>
      <x:c r="E61" s="16" t="n">
        <x:f>$C$16*D61</x:f>
        <x:v>0.375</x:v>
      </x:c>
      <x:c r="F61" s="11" t="n">
        <x:f>IF(B61&gt;$C$20*E61,C61*E61/(B61-$C$20*E61),"No break-even")</x:f>
        <x:v>0.013043478260869565</x:v>
      </x:c>
      <x:c r="G61" s="11" t="n">
        <x:f>IF(ISNUMBER(F61),F61/C61,"No break-even")</x:f>
        <x:v>0.043478260869565216</x:v>
      </x:c>
      <x:c r="H61" s="2"/>
      <x:c r="I61" s="2"/>
    </x:row>
    <x:row r="62" ht="23" customHeight="1">
      <x:c r="A62" s="2"/>
      <x:c r="B62" s="28" t="n">
        <x:v>9</x:v>
      </x:c>
      <x:c r="C62" s="29" t="n">
        <x:v>1</x:v>
      </x:c>
      <x:c r="D62" s="29" t="n">
        <x:v>0.5</x:v>
      </x:c>
      <x:c r="E62" s="16" t="n">
        <x:f>$C$16*D62</x:f>
        <x:v>0.75</x:v>
      </x:c>
      <x:c r="F62" s="11" t="n">
        <x:f>IF(B62&gt;$C$20*E62,C62*E62/(B62-$C$20*E62),"No break-even")</x:f>
        <x:v>0.09090909090909091</x:v>
      </x:c>
      <x:c r="G62" s="11" t="n">
        <x:f>IF(ISNUMBER(F62),F62/C62,"No break-even")</x:f>
        <x:v>0.09090909090909091</x:v>
      </x:c>
      <x:c r="H62" s="2"/>
      <x:c r="I62" s="2"/>
    </x:row>
    <x:row r="63" ht="23" customHeight="1">
      <x:c r="A63" s="2"/>
      <x:c r="B63" s="28" t="n">
        <x:v>9</x:v>
      </x:c>
      <x:c r="C63" s="29" t="n">
        <x:v>0.3</x:v>
      </x:c>
      <x:c r="D63" s="29" t="n">
        <x:v>0.5</x:v>
      </x:c>
      <x:c r="E63" s="16" t="n">
        <x:f>$C$16*D63</x:f>
        <x:v>0.75</x:v>
      </x:c>
      <x:c r="F63" s="11" t="n">
        <x:f>IF(B63&gt;$C$20*E63,C63*E63/(B63-$C$20*E63),"No break-even")</x:f>
        <x:v>0.02727272727272727</x:v>
      </x:c>
      <x:c r="G63" s="11" t="n">
        <x:f>IF(ISNUMBER(F63),F63/C63,"No break-even")</x:f>
        <x:v>0.09090909090909091</x:v>
      </x:c>
      <x:c r="H63" s="2"/>
      <x:c r="I63" s="2"/>
    </x:row>
    <x:row r="64" ht="23" customHeight="1">
      <x:c r="A64" s="2"/>
      <x:c r="B64" s="28" t="n">
        <x:v>9</x:v>
      </x:c>
      <x:c r="C64" s="29" t="n">
        <x:v>1</x:v>
      </x:c>
      <x:c r="D64" s="29" t="n">
        <x:v>0.75</x:v>
      </x:c>
      <x:c r="E64" s="16" t="n">
        <x:f>$C$16*D64</x:f>
        <x:v>1.125</x:v>
      </x:c>
      <x:c r="F64" s="11" t="n">
        <x:f>IF(B64&gt;$C$20*E64,C64*E64/(B64-$C$20*E64),"No break-even")</x:f>
        <x:v>0.14285714285714285</x:v>
      </x:c>
      <x:c r="G64" s="11" t="n">
        <x:f>IF(ISNUMBER(F64),F64/C64,"No break-even")</x:f>
        <x:v>0.14285714285714285</x:v>
      </x:c>
      <x:c r="H64" s="2"/>
      <x:c r="I64" s="2"/>
    </x:row>
    <x:row r="65" ht="23" customHeight="1">
      <x:c r="A65" s="2"/>
      <x:c r="B65" s="28" t="n">
        <x:v>9</x:v>
      </x:c>
      <x:c r="C65" s="29" t="n">
        <x:v>0.3</x:v>
      </x:c>
      <x:c r="D65" s="29" t="n">
        <x:v>0.75</x:v>
      </x:c>
      <x:c r="E65" s="16" t="n">
        <x:f>$C$16*D65</x:f>
        <x:v>1.125</x:v>
      </x:c>
      <x:c r="F65" s="11" t="n">
        <x:f>IF(B65&gt;$C$20*E65,C65*E65/(B65-$C$20*E65),"No break-even")</x:f>
        <x:v>0.04285714285714285</x:v>
      </x:c>
      <x:c r="G65" s="11" t="n">
        <x:f>IF(ISNUMBER(F65),F65/C65,"No break-even")</x:f>
        <x:v>0.14285714285714285</x:v>
      </x:c>
      <x:c r="H65" s="2"/>
      <x:c r="I65" s="2"/>
    </x:row>
    <x:row r="66" ht="23" customHeight="1">
      <x:c r="A66" s="2"/>
      <x:c r="B66" s="28" t="n">
        <x:v>9</x:v>
      </x:c>
      <x:c r="C66" s="29" t="n">
        <x:v>1</x:v>
      </x:c>
      <x:c r="D66" s="29" t="n">
        <x:v>1</x:v>
      </x:c>
      <x:c r="E66" s="16" t="n">
        <x:f>$C$16*D66</x:f>
        <x:v>1.5</x:v>
      </x:c>
      <x:c r="F66" s="11" t="n">
        <x:f>IF(B66&gt;$C$20*E66,C66*E66/(B66-$C$20*E66),"No break-even")</x:f>
        <x:v>0.2</x:v>
      </x:c>
      <x:c r="G66" s="11" t="n">
        <x:f>IF(ISNUMBER(F66),F66/C66,"No break-even")</x:f>
        <x:v>0.2</x:v>
      </x:c>
      <x:c r="H66" s="2"/>
      <x:c r="I66" s="2"/>
    </x:row>
    <x:row r="67" ht="23" customHeight="1">
      <x:c r="A67" s="2"/>
      <x:c r="B67" s="28" t="n">
        <x:v>9</x:v>
      </x:c>
      <x:c r="C67" s="29" t="n">
        <x:v>0.3</x:v>
      </x:c>
      <x:c r="D67" s="29" t="n">
        <x:v>1</x:v>
      </x:c>
      <x:c r="E67" s="16" t="n">
        <x:f>$C$16*D67</x:f>
        <x:v>1.5</x:v>
      </x:c>
      <x:c r="F67" s="11" t="n">
        <x:f>IF(B67&gt;$C$20*E67,C67*E67/(B67-$C$20*E67),"No break-even")</x:f>
        <x:v>0.05999999999999999</x:v>
      </x:c>
      <x:c r="G67" s="11" t="n">
        <x:f>IF(ISNUMBER(F67),F67/C67,"No break-even")</x:f>
        <x:v>0.19999999999999998</x:v>
      </x:c>
      <x:c r="H67" s="2"/>
      <x:c r="I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</x:row>
  </x:sheetData>
  <x:conditionalFormatting sqref="C6:C6">
    <x:cfRule type="cellIs" dxfId="0" priority="1" operator="lessThan">
      <x:formula>0</x:formula>
    </x:cfRule>
  </x:conditionalFormatting>
  <x:conditionalFormatting sqref="C22:C22">
    <x:cfRule type="expression" dxfId="1" priority="2">
      <x:formula>LEN(C22)&gt;0</x:formula>
    </x:cfRule>
  </x:conditionalFormatting>
  <x:dataValidations count="4">
    <x:dataValidation type="whole" operator="between" sqref="C15">
      <x:formula1>0</x:formula1>
      <x:formula2>1000000000</x:formula2>
    </x:dataValidation>
    <x:dataValidation type="list" sqref="C18">
      <x:formula1>"0,0.25,0.5,0.75,1"</x:formula1>
    </x:dataValidation>
    <x:dataValidation type="list" sqref="C20">
      <x:formula1>"0,0.25,0.5,0.75,1"</x:formula1>
    </x:dataValidation>
    <x:dataValidation type="list" sqref="C19">
      <x:formula1>"0.3,1"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4B39B"/>
  </x:sheetPr>
  <x:sheetViews>
    <x:sheetView showGridLines="0" workbookViewId="0"/>
  </x:sheetViews>
  <x:sheetFormatPr defaultRowHeight="15"/>
  <x:cols>
    <x:col min="1" max="1" width="3" hidden="0" customWidth="1"/>
    <x:col min="2" max="2" width="21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"/>
      <x:c r="B2" s="3" t="str">
        <x:v>Lyft observed market comparison</x:v>
      </x:c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7" customHeight="1">
      <x:c r="A5" s="2"/>
      <x:c r="B5" s="6" t="str">
        <x:v>Period</x:v>
      </x:c>
      <x:c r="C5" s="6" t="str">
        <x:v>Start</x:v>
      </x:c>
      <x:c r="D5" s="6" t="str">
        <x:v>End</x:v>
      </x:c>
      <x:c r="E5" s="6" t="str">
        <x:v>Endpoint</x:v>
      </x:c>
      <x:c r="F5" s="6" t="str">
        <x:v>Lyft trips</x:v>
      </x:c>
      <x:c r="G5" s="6" t="str">
        <x:v>Uber trips</x:v>
      </x:c>
      <x:c r="H5" s="6" t="str">
        <x:v>Market trips</x:v>
      </x:c>
      <x:c r="I5" s="6" t="str">
        <x:v>Lyft share</x:v>
      </x:c>
    </x:row>
    <x:row r="6" ht="23" customHeight="1">
      <x:c r="A6" s="2"/>
      <x:c r="B6" s="2" t="str">
        <x:v>Credit window</x:v>
      </x:c>
      <x:c r="C6" s="8" t="d">
        <x:v>2025-01-06T00:00:00.000Z</x:v>
      </x:c>
      <x:c r="D6" s="8" t="d">
        <x:v>2025-01-26T00:00:00.000Z</x:v>
      </x:c>
      <x:c r="E6" s="2" t="str">
        <x:v>Zone</x:v>
      </x:c>
      <x:c r="F6" s="12" t="n">
        <x:v>1282171</x:v>
      </x:c>
      <x:c r="G6" s="12" t="n">
        <x:v>3466694</x:v>
      </x:c>
      <x:c r="H6" s="10" t="n">
        <x:f>SUM(F6:G6)</x:f>
        <x:v>4748865</x:v>
      </x:c>
      <x:c r="I6" s="11" t="n">
        <x:f>F6/H6</x:f>
        <x:v>0.26999525149693665</x:v>
      </x:c>
    </x:row>
    <x:row r="7" ht="23" customHeight="1">
      <x:c r="A7" s="2"/>
      <x:c r="B7" s="2" t="str">
        <x:v>Post window</x:v>
      </x:c>
      <x:c r="C7" s="8" t="d">
        <x:v>2025-02-03T00:00:00.000Z</x:v>
      </x:c>
      <x:c r="D7" s="8" t="d">
        <x:v>2025-02-23T00:00:00.000Z</x:v>
      </x:c>
      <x:c r="E7" s="2" t="str">
        <x:v>Zone</x:v>
      </x:c>
      <x:c r="F7" s="12" t="n">
        <x:v>1296909</x:v>
      </x:c>
      <x:c r="G7" s="12" t="n">
        <x:v>3666442</x:v>
      </x:c>
      <x:c r="H7" s="10" t="n">
        <x:f>SUM(F7:G7)</x:f>
        <x:v>4963351</x:v>
      </x:c>
      <x:c r="I7" s="11" t="n">
        <x:f>F7/H7</x:f>
        <x:v>0.26129705515487417</x:v>
      </x:c>
    </x:row>
    <x:row r="8" ht="23" customHeight="1">
      <x:c r="A8" s="2"/>
      <x:c r="B8" s="2" t="str">
        <x:v>Credit window</x:v>
      </x:c>
      <x:c r="C8" s="8" t="d">
        <x:v>2025-01-06T00:00:00.000Z</x:v>
      </x:c>
      <x:c r="D8" s="8" t="d">
        <x:v>2025-01-26T00:00:00.000Z</x:v>
      </x:c>
      <x:c r="E8" s="2" t="str">
        <x:v>Outside</x:v>
      </x:c>
      <x:c r="F8" s="12" t="n">
        <x:v>2232319</x:v>
      </x:c>
      <x:c r="G8" s="12" t="n">
        <x:v>7116769</x:v>
      </x:c>
      <x:c r="H8" s="10" t="n">
        <x:f>SUM(F8:G8)</x:f>
        <x:v>9349088</x:v>
      </x:c>
      <x:c r="I8" s="11" t="n">
        <x:f>F8/H8</x:f>
        <x:v>0.23877398522722215</x:v>
      </x:c>
    </x:row>
    <x:row r="9" ht="23" customHeight="1">
      <x:c r="A9" s="2"/>
      <x:c r="B9" s="2" t="str">
        <x:v>Post window</x:v>
      </x:c>
      <x:c r="C9" s="8" t="d">
        <x:v>2025-02-03T00:00:00.000Z</x:v>
      </x:c>
      <x:c r="D9" s="8" t="d">
        <x:v>2025-02-23T00:00:00.000Z</x:v>
      </x:c>
      <x:c r="E9" s="2" t="str">
        <x:v>Outside</x:v>
      </x:c>
      <x:c r="F9" s="12" t="n">
        <x:v>2365453</x:v>
      </x:c>
      <x:c r="G9" s="12" t="n">
        <x:v>7244232</x:v>
      </x:c>
      <x:c r="H9" s="10" t="n">
        <x:f>SUM(F9:G9)</x:f>
        <x:v>9609685</x:v>
      </x:c>
      <x:c r="I9" s="11" t="n">
        <x:f>F9/H9</x:f>
        <x:v>0.2461530216651222</x:v>
      </x:c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7" customHeight="1">
      <x:c r="A13" s="2"/>
      <x:c r="B13" s="6" t="str">
        <x:v>Share comparison</x:v>
      </x:c>
      <x:c r="C13" s="6"/>
      <x:c r="D13" s="6" t="str">
        <x:v>Credit window</x:v>
      </x:c>
      <x:c r="E13" s="6" t="str">
        <x:v>Post window</x:v>
      </x:c>
      <x:c r="F13" s="2"/>
      <x:c r="G13" s="2"/>
      <x:c r="H13" s="2"/>
      <x:c r="I13" s="2"/>
    </x:row>
    <x:row r="14" ht="23" customHeight="1">
      <x:c r="A14" s="2"/>
      <x:c r="B14" s="2" t="str">
        <x:v>Zone share</x:v>
      </x:c>
      <x:c r="C14" s="2"/>
      <x:c r="D14" s="11" t="n">
        <x:f>I6</x:f>
        <x:v>0.26999525149693665</x:v>
      </x:c>
      <x:c r="E14" s="11" t="n">
        <x:f>I7</x:f>
        <x:v>0.26129705515487417</x:v>
      </x:c>
      <x:c r="F14" s="2"/>
      <x:c r="G14" s="2"/>
      <x:c r="H14" s="2"/>
      <x:c r="I14" s="2"/>
    </x:row>
    <x:row r="15" ht="23" customHeight="1">
      <x:c r="A15" s="2"/>
      <x:c r="B15" s="2" t="str">
        <x:v>Outside share</x:v>
      </x:c>
      <x:c r="C15" s="2"/>
      <x:c r="D15" s="11" t="n">
        <x:f>I8</x:f>
        <x:v>0.23877398522722215</x:v>
      </x:c>
      <x:c r="E15" s="11" t="n">
        <x:f>I9</x:f>
        <x:v>0.2461530216651222</x:v>
      </x:c>
      <x:c r="F15" s="2"/>
      <x:c r="G15" s="2"/>
      <x:c r="H15" s="2"/>
      <x:c r="I15" s="2"/>
    </x:row>
    <x:row r="16" ht="23" customHeight="1">
      <x:c r="A16" s="2"/>
      <x:c r="B16" s="2" t="str">
        <x:v>Zone share difference</x:v>
      </x:c>
      <x:c r="C16" s="2"/>
      <x:c r="D16" s="13" t="n">
        <x:f>(D14-E14)*100</x:f>
        <x:v>0.8698196342062481</x:v>
      </x:c>
      <x:c r="E16" s="2"/>
      <x:c r="F16" s="2"/>
      <x:c r="G16" s="2"/>
      <x:c r="H16" s="2"/>
      <x:c r="I16" s="2"/>
    </x:row>
    <x:row r="17" ht="23" customHeight="1">
      <x:c r="A17" s="2"/>
      <x:c r="B17" s="2" t="str">
        <x:v>Outside share difference</x:v>
      </x:c>
      <x:c r="C17" s="2"/>
      <x:c r="D17" s="13" t="n">
        <x:f>(D15-E15)*100</x:f>
        <x:v>-0.7379036437900055</x:v>
      </x:c>
      <x:c r="E17" s="2"/>
      <x:c r="F17" s="2"/>
      <x:c r="G17" s="2"/>
      <x:c r="H17" s="2"/>
      <x:c r="I17" s="2"/>
    </x:row>
    <x:row r="18" ht="23" customHeight="1">
      <x:c r="A18" s="2"/>
      <x:c r="B18" s="2" t="str">
        <x:v>Adjusted share difference</x:v>
      </x:c>
      <x:c r="C18" s="2"/>
      <x:c r="D18" s="13" t="n">
        <x:f>D16-D17</x:f>
        <x:v>1.6077232779962536</x:v>
      </x:c>
      <x:c r="E18" s="2"/>
      <x:c r="F18" s="2"/>
      <x:c r="G18" s="2"/>
      <x:c r="H18" s="2"/>
      <x:c r="I18" s="2"/>
    </x:row>
    <x:row r="19" ht="23" customHeight="1">
      <x:c r="A19" s="2"/>
      <x:c r="B19" s="2" t="str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 t="str">
        <x:v>Approx. uplift vs post share</x:v>
      </x:c>
      <x:c r="C20" s="2"/>
      <x:c r="D20" s="11" t="n">
        <x:f>(D18/100)/E14</x:f>
        <x:v>0.06152856476102783</x:v>
      </x:c>
      <x:c r="E20" s="2"/>
      <x:c r="F20" s="2"/>
      <x:c r="G20" s="2"/>
      <x:c r="H20" s="2"/>
      <x:c r="I20" s="2"/>
    </x:row>
    <x:row r="21" ht="23" customHeight="1">
      <x:c r="A21" s="2"/>
      <x:c r="B21" s="2" t="str">
        <x:v>Adjusted reference share</x:v>
      </x:c>
      <x:c r="C21" s="2"/>
      <x:c r="D21" s="11" t="n">
        <x:f>E14+D15-E15</x:f>
        <x:v>0.25391801871697406</x:v>
      </x:c>
      <x:c r="E21" s="2"/>
      <x:c r="F21" s="2"/>
      <x:c r="G21" s="2"/>
      <x:c r="H21" s="2"/>
      <x:c r="I21" s="2"/>
    </x:row>
    <x:row r="22" ht="23" customHeight="1">
      <x:c r="A22" s="2"/>
      <x:c r="B22" s="2" t="str">
        <x:v>Fixed-market uplift proxy</x:v>
      </x:c>
      <x:c r="C22" s="2"/>
      <x:c r="D22" s="11" t="n">
        <x:f>(D18/100)/D21</x:f>
        <x:v>0.06331662818258985</x:v>
      </x:c>
      <x:c r="E22" s="2"/>
      <x:c r="F22" s="2"/>
      <x:c r="G22" s="2"/>
      <x:c r="H22" s="2"/>
      <x:c r="I22" s="2"/>
    </x:row>
    <x:row r="23" ht="23" customHeight="1">
      <x:c r="A23" s="2"/>
      <x:c r="B23" s="2" t="str">
        <x:v>Fixed-market reference Lyft trips</x:v>
      </x:c>
      <x:c r="C23" s="2"/>
      <x:c r="D23" s="14" t="n">
        <x:f>D21*H6</x:f>
        <x:v>1205822.391954383</x:v>
      </x:c>
      <x:c r="E23" s="2"/>
      <x:c r="F23" s="2"/>
      <x:c r="G23" s="2"/>
      <x:c r="H23" s="2"/>
      <x:c r="I23" s="2"/>
    </x:row>
    <x:row r="24" ht="23" customHeight="1">
      <x:c r="A24" s="2"/>
      <x:c r="B24" s="2" t="str">
        <x:v>Fixed-market extra-trip proxy</x:v>
      </x:c>
      <x:c r="C24" s="2"/>
      <x:c r="D24" s="14" t="n">
        <x:f>F6-D23</x:f>
        <x:v>76348.60804561689</x:v>
      </x:c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15" t="str">
        <x:v>Sources and interpretation</x:v>
      </x:c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 t="str">
        <x:v>Trip data</x:v>
      </x:c>
      <x:c r="C28" s="2" t="str">
        <x:v>https://www.nyc.gov/site/tlc/about/tlc-trip-record-data.page</x:v>
      </x:c>
      <x:c r="D28" s="2"/>
      <x:c r="E28" s="2"/>
      <x:c r="F28" s="2"/>
      <x:c r="G28" s="2"/>
      <x:c r="H28" s="2"/>
      <x:c r="I28" s="2"/>
    </x:row>
    <x:row r="29" ht="23" customHeight="1">
      <x:c r="A29" s="2"/>
      <x:c r="B29" s="2" t="str">
        <x:v>Credit terms</x:v>
      </x:c>
      <x:c r="C29" s="2" t="str">
        <x:v>https://www.lyft.com/blog/posts/navigating-the-new-nyc-congestion-fee-with-lyft</x:v>
      </x:c>
      <x:c r="D29" s="2"/>
      <x:c r="E29" s="2"/>
      <x:c r="F29" s="2"/>
      <x:c r="G29" s="2"/>
      <x:c r="H29" s="2"/>
      <x:c r="I29" s="2"/>
    </x:row>
    <x:row r="30" ht="23" customHeight="1">
      <x:c r="A30" s="2"/>
      <x:c r="B30" s="2" t="str">
        <x:v>Prepared input</x:v>
      </x:c>
      <x:c r="C30" s="2" t="str">
        <x:v>data/processed/daily_segment.csv</x:v>
      </x:c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/>
      <x:c r="B32" s="2" t="str">
        <x:v>Share uplift is a proxy under fixed-market and unaffected-control assumptions.</x:v>
      </x:c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 t="str">
        <x:v>Early February may contain credit carryover. Credits can be used outside the zone.</x:v>
      </x:c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 t="str">
        <x:v>Contribution margin and redemption are not observed in TLC data.</x:v>
      </x:c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</x:row>
  </x:sheetData>
  <x:pageMargins left="0.7" right="0.7" top="0.75" bottom="0.75" header="0.3" footer="0.3"/>
</x:worksheet>
</file>